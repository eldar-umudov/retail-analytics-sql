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mp\Desktop\Portfolio_Eldar\"/>
    </mc:Choice>
  </mc:AlternateContent>
  <xr:revisionPtr revIDLastSave="0" documentId="13_ncr:1_{6524D6B0-9539-4C00-A192-6CE10C68653D}" xr6:coauthVersionLast="47" xr6:coauthVersionMax="47" xr10:uidLastSave="{00000000-0000-0000-0000-000000000000}"/>
  <bookViews>
    <workbookView xWindow="-120" yWindow="-120" windowWidth="29040" windowHeight="15840" xr2:uid="{DD0E4844-47AD-4143-B538-CEB646B93207}"/>
  </bookViews>
  <sheets>
    <sheet name="Анализ сезонности sq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H5" i="1"/>
  <c r="H6" i="1"/>
  <c r="H7" i="1"/>
  <c r="H8" i="1"/>
  <c r="H9" i="1"/>
  <c r="H10" i="1"/>
  <c r="H11" i="1"/>
  <c r="H12" i="1"/>
  <c r="H13" i="1"/>
  <c r="H4" i="1"/>
  <c r="H3" i="1"/>
  <c r="H2" i="1"/>
  <c r="F15" i="1"/>
  <c r="F16" i="1"/>
  <c r="F17" i="1"/>
  <c r="F18" i="1"/>
  <c r="F19" i="1"/>
  <c r="F14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<sst xmlns="http://schemas.openxmlformats.org/spreadsheetml/2006/main" count="9" uniqueCount="9">
  <si>
    <t>Месяц</t>
  </si>
  <si>
    <t>Период</t>
  </si>
  <si>
    <t xml:space="preserve"> Сезонность </t>
  </si>
  <si>
    <t>ПроданКол</t>
  </si>
  <si>
    <t>ВыручкиВсего</t>
  </si>
  <si>
    <t>Прогноз выручки</t>
  </si>
  <si>
    <t>ИтогСтоим</t>
  </si>
  <si>
    <t>МаржаВсего</t>
  </si>
  <si>
    <t>Среднее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</si>
</sst>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Анализ</a:t>
            </a:r>
            <a:r>
              <a:rPr lang="ru-RU" baseline="0"/>
              <a:t> сезонности</a:t>
            </a:r>
            <a:endParaRPr lang="ru-RU"/>
          </a:p>
        </c:rich>
      </c:tx>
      <c:layout>
        <c:manualLayout>
          <c:xMode val="edge"/>
          <c:yMode val="edge"/>
          <c:x val="0.3905624576538948"/>
          <c:y val="2.77779083584701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'Анализ сезонности sql'!$E$1</c:f>
              <c:strCache>
                <c:ptCount val="1"/>
                <c:pt idx="0">
                  <c:v>ВыручкиВсего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'Анализ сезонности sql'!$A$2:$A$19</c:f>
              <c:numCache>
                <c:formatCode>mmm\-yy</c:formatCode>
                <c:ptCount val="18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</c:numCache>
            </c:numRef>
          </c:cat>
          <c:val>
            <c:numRef>
              <c:f>'Анализ сезонности sql'!$E$2:$E$19</c:f>
              <c:numCache>
                <c:formatCode>General</c:formatCode>
                <c:ptCount val="18"/>
                <c:pt idx="0">
                  <c:v>1298521</c:v>
                </c:pt>
                <c:pt idx="1">
                  <c:v>1262898</c:v>
                </c:pt>
                <c:pt idx="2">
                  <c:v>1416674</c:v>
                </c:pt>
                <c:pt idx="3">
                  <c:v>1209078</c:v>
                </c:pt>
                <c:pt idx="4">
                  <c:v>900313</c:v>
                </c:pt>
                <c:pt idx="5">
                  <c:v>1330287</c:v>
                </c:pt>
                <c:pt idx="6">
                  <c:v>1200171</c:v>
                </c:pt>
                <c:pt idx="7">
                  <c:v>1622630</c:v>
                </c:pt>
                <c:pt idx="8">
                  <c:v>1671659</c:v>
                </c:pt>
                <c:pt idx="9">
                  <c:v>1794339</c:v>
                </c:pt>
                <c:pt idx="10">
                  <c:v>2008147</c:v>
                </c:pt>
                <c:pt idx="11">
                  <c:v>1079043</c:v>
                </c:pt>
                <c:pt idx="12">
                  <c:v>1535393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D-4D57-91C2-B0420EB70C17}"/>
            </c:ext>
          </c:extLst>
        </c:ser>
        <c:ser>
          <c:idx val="1"/>
          <c:order val="1"/>
          <c:tx>
            <c:strRef>
              <c:f>'Анализ сезонности sql'!$F$1</c:f>
              <c:strCache>
                <c:ptCount val="1"/>
                <c:pt idx="0">
                  <c:v>Прогноз выручки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'Анализ сезонности sql'!$A$2:$A$19</c:f>
              <c:numCache>
                <c:formatCode>mmm\-yy</c:formatCode>
                <c:ptCount val="18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</c:numCache>
            </c:numRef>
          </c:cat>
          <c:val>
            <c:numRef>
              <c:f>'Анализ сезонности sql'!$F$2:$F$19</c:f>
              <c:numCache>
                <c:formatCode>General</c:formatCode>
                <c:ptCount val="18"/>
                <c:pt idx="12" formatCode="0">
                  <c:v>1535392.7175091715</c:v>
                </c:pt>
                <c:pt idx="13" formatCode="0">
                  <c:v>1529309.7347838294</c:v>
                </c:pt>
                <c:pt idx="14" formatCode="0">
                  <c:v>1754647.5345978145</c:v>
                </c:pt>
                <c:pt idx="15" formatCode="0">
                  <c:v>1532028.1324232602</c:v>
                </c:pt>
                <c:pt idx="16" formatCode="0">
                  <c:v>1166482.085642617</c:v>
                </c:pt>
                <c:pt idx="17" formatCode="0">
                  <c:v>1757861.4553855986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D-4D57-91C2-B0420EB70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054191"/>
        <c:axId val="1063052751"/>
      </c:lineChart>
      <c:dateAx>
        <c:axId val="10630541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3052751"/>
        <c:crosses val="autoZero"/>
        <c:auto val="1"/>
        <c:lblOffset val="100"/>
        <c:baseTimeUnit val="months"/>
      </c:dateAx>
      <c:valAx>
        <c:axId val="10630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305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23811</xdr:colOff>
      <xdr:row>3</xdr:row>
      <xdr:rowOff>19050</xdr:rowOff>
    </xdr:from>
    <xdr:to>
      <xdr:col>17</xdr:col>
      <xdr:colOff>676275</xdr:colOff>
      <xdr:row>24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C4C8EE0-60C6-32CA-B2D6-D4068CFF0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AF46-79EF-4D00-BC81-424D9B62515E}">
  <dimension ref="A1:J19"/>
  <sheetViews>
    <sheetView tabSelected="1" workbookViewId="0">
      <selection activeCell="E10" sqref="E10"/>
    </sheetView>
  </sheetViews>
  <sheetFormatPr defaultRowHeight="14.25"/>
  <cols>
    <col min="3" max="3" width="11.25" customWidth="1"/>
    <col min="4" max="4" width="10.75" customWidth="1"/>
    <col min="5" max="5" width="14" customWidth="1"/>
    <col min="6" max="6" width="16.125" customWidth="1"/>
    <col min="7" max="7" width="10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s="1">
        <v>45200</v>
      </c>
      <c r="B2">
        <v>1</v>
      </c>
      <c r="C2" s="2">
        <f>E2/SUM($E$2:$E$13)*12</f>
        <v>0.92785963357818624</v>
      </c>
      <c r="D2">
        <v>40</v>
      </c>
      <c r="E2">
        <v>1298521</v>
      </c>
      <c r="G2">
        <v>1035303</v>
      </c>
      <c r="H2">
        <f>E2-G2</f>
        <v>263218</v>
      </c>
      <c r="J2">
        <f>AVERAGE($E$2:$E$13)</f>
        <v>1399480</v>
      </c>
    </row>
    <row r="3" spans="1:10">
      <c r="A3" s="1">
        <v>45231</v>
      </c>
      <c r="B3">
        <v>2</v>
      </c>
      <c r="C3" s="2">
        <f t="shared" ref="C3:C13" si="0">E3/SUM($E$2:$E$13)*12</f>
        <v>0.90240517906651041</v>
      </c>
      <c r="D3">
        <v>37</v>
      </c>
      <c r="E3">
        <v>1262898</v>
      </c>
      <c r="G3">
        <v>1014052</v>
      </c>
      <c r="H3">
        <f>E3-G3</f>
        <v>248846</v>
      </c>
    </row>
    <row r="4" spans="1:10">
      <c r="A4" s="1">
        <v>45261</v>
      </c>
      <c r="B4">
        <v>3</v>
      </c>
      <c r="C4" s="2">
        <f t="shared" si="0"/>
        <v>1.0122859919398635</v>
      </c>
      <c r="D4">
        <v>43</v>
      </c>
      <c r="E4">
        <v>1416674</v>
      </c>
      <c r="G4">
        <v>1132018</v>
      </c>
      <c r="H4">
        <f>E4-G4</f>
        <v>284656</v>
      </c>
    </row>
    <row r="5" spans="1:10">
      <c r="A5" s="1">
        <v>45292</v>
      </c>
      <c r="B5">
        <v>4</v>
      </c>
      <c r="C5" s="2">
        <f t="shared" si="0"/>
        <v>0.86394803784262719</v>
      </c>
      <c r="D5">
        <v>29</v>
      </c>
      <c r="E5">
        <v>1209078</v>
      </c>
      <c r="G5">
        <v>967956</v>
      </c>
      <c r="H5">
        <f t="shared" ref="H5:H13" si="1">E5-G5</f>
        <v>241122</v>
      </c>
    </row>
    <row r="6" spans="1:10">
      <c r="A6" s="1">
        <v>45323</v>
      </c>
      <c r="B6">
        <v>5</v>
      </c>
      <c r="C6" s="2">
        <f t="shared" si="0"/>
        <v>0.64331966158859011</v>
      </c>
      <c r="D6">
        <v>27</v>
      </c>
      <c r="E6">
        <v>900313</v>
      </c>
      <c r="G6">
        <v>723187</v>
      </c>
      <c r="H6">
        <f t="shared" si="1"/>
        <v>177126</v>
      </c>
    </row>
    <row r="7" spans="1:10">
      <c r="A7" s="1">
        <v>45352</v>
      </c>
      <c r="B7">
        <v>6</v>
      </c>
      <c r="C7" s="2">
        <f t="shared" si="0"/>
        <v>0.95055806442392887</v>
      </c>
      <c r="D7">
        <v>40</v>
      </c>
      <c r="E7">
        <v>1330287</v>
      </c>
      <c r="G7">
        <v>1064955</v>
      </c>
      <c r="H7">
        <f t="shared" si="1"/>
        <v>265332</v>
      </c>
    </row>
    <row r="8" spans="1:10">
      <c r="A8" s="1">
        <v>45383</v>
      </c>
      <c r="B8">
        <v>7</v>
      </c>
      <c r="C8" s="2">
        <f t="shared" si="0"/>
        <v>0.85758353102580953</v>
      </c>
      <c r="D8">
        <v>32</v>
      </c>
      <c r="E8">
        <v>1200171</v>
      </c>
      <c r="G8">
        <v>970222</v>
      </c>
      <c r="H8">
        <f t="shared" si="1"/>
        <v>229949</v>
      </c>
    </row>
    <row r="9" spans="1:10">
      <c r="A9" s="1">
        <v>45413</v>
      </c>
      <c r="B9">
        <v>8</v>
      </c>
      <c r="C9" s="2">
        <f t="shared" si="0"/>
        <v>1.1594520822019607</v>
      </c>
      <c r="D9">
        <v>48</v>
      </c>
      <c r="E9">
        <v>1622630</v>
      </c>
      <c r="G9">
        <v>1297363</v>
      </c>
      <c r="H9">
        <f t="shared" si="1"/>
        <v>325267</v>
      </c>
    </row>
    <row r="10" spans="1:10">
      <c r="A10" s="1">
        <v>45444</v>
      </c>
      <c r="B10">
        <v>9</v>
      </c>
      <c r="C10" s="2">
        <f t="shared" si="0"/>
        <v>1.194485809014777</v>
      </c>
      <c r="D10">
        <v>47</v>
      </c>
      <c r="E10">
        <v>1671659</v>
      </c>
      <c r="G10">
        <v>1342372</v>
      </c>
      <c r="H10">
        <f t="shared" si="1"/>
        <v>329287</v>
      </c>
    </row>
    <row r="11" spans="1:10">
      <c r="A11" s="1">
        <v>45474</v>
      </c>
      <c r="B11">
        <v>10</v>
      </c>
      <c r="C11" s="2">
        <f t="shared" si="0"/>
        <v>1.2821469402921084</v>
      </c>
      <c r="D11">
        <v>57</v>
      </c>
      <c r="E11">
        <v>1794339</v>
      </c>
      <c r="G11">
        <v>1425493</v>
      </c>
      <c r="H11">
        <f t="shared" si="1"/>
        <v>368846</v>
      </c>
    </row>
    <row r="12" spans="1:10">
      <c r="A12" s="1">
        <v>45505</v>
      </c>
      <c r="B12">
        <v>11</v>
      </c>
      <c r="C12" s="2">
        <f t="shared" si="0"/>
        <v>1.4349236859404921</v>
      </c>
      <c r="D12">
        <v>60</v>
      </c>
      <c r="E12">
        <v>2008147</v>
      </c>
      <c r="G12">
        <v>1607322</v>
      </c>
      <c r="H12">
        <f t="shared" si="1"/>
        <v>400825</v>
      </c>
    </row>
    <row r="13" spans="1:10">
      <c r="A13" s="1">
        <v>45536</v>
      </c>
      <c r="B13">
        <v>12</v>
      </c>
      <c r="C13" s="2">
        <f t="shared" si="0"/>
        <v>0.77103138308514596</v>
      </c>
      <c r="D13">
        <v>31</v>
      </c>
      <c r="E13">
        <v>1079043</v>
      </c>
      <c r="G13">
        <v>861209</v>
      </c>
      <c r="H13">
        <f t="shared" si="1"/>
        <v>217834</v>
      </c>
    </row>
    <row r="14" spans="1:10">
      <c r="A14" s="1">
        <v>45566</v>
      </c>
      <c r="B14">
        <v>13</v>
      </c>
      <c r="E14">
        <v>1535393</v>
      </c>
      <c r="F14" s="3">
        <f>_xlfn.FORECAST.LINEAR(A14,$E$2:$E$13,$A$2:$A$13)*C2</f>
        <v>1535392.7175091715</v>
      </c>
    </row>
    <row r="15" spans="1:10">
      <c r="A15" s="1">
        <v>45597</v>
      </c>
      <c r="B15">
        <v>14</v>
      </c>
      <c r="F15" s="3">
        <f t="shared" ref="F15:F19" si="2">_xlfn.FORECAST.LINEAR(A15,$E$2:$E$13,$A$2:$A$13)*C3</f>
        <v>1529309.7347838294</v>
      </c>
    </row>
    <row r="16" spans="1:10">
      <c r="A16" s="1">
        <v>45627</v>
      </c>
      <c r="B16">
        <v>15</v>
      </c>
      <c r="F16" s="3">
        <f t="shared" si="2"/>
        <v>1754647.5345978145</v>
      </c>
    </row>
    <row r="17" spans="1:6">
      <c r="A17" s="1">
        <v>45658</v>
      </c>
      <c r="B17">
        <v>16</v>
      </c>
      <c r="F17" s="3">
        <f t="shared" si="2"/>
        <v>1532028.1324232602</v>
      </c>
    </row>
    <row r="18" spans="1:6">
      <c r="A18" s="1">
        <v>45689</v>
      </c>
      <c r="B18">
        <v>17</v>
      </c>
      <c r="F18" s="3">
        <f t="shared" si="2"/>
        <v>1166482.085642617</v>
      </c>
    </row>
    <row r="19" spans="1:6">
      <c r="A19" s="1">
        <v>45717</v>
      </c>
      <c r="B19">
        <v>18</v>
      </c>
      <c r="F19" s="3">
        <f t="shared" si="2"/>
        <v>1757861.4553855986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сезонности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Eldar Umudov</dc:creator>
  <cp:lastModifiedBy>RePack by Diakov</cp:lastModifiedBy>
  <dcterms:created xsi:type="dcterms:W3CDTF">2025-12-29T01:05:53Z</dcterms:created>
  <dcterms:modified xsi:type="dcterms:W3CDTF">2025-12-30T10:39:36Z</dcterms:modified>
</cp:coreProperties>
</file>